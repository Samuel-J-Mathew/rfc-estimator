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'Version'!$A$1:$C$54</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'Existing'!$A$1:$G$186</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'Electrical'!$A$1:$X$237</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3.5.0</t>
        </is>
      </c>
      <c r="C4" s="791" t="n"/>
      <c r="D4" s="791" t="n"/>
    </row>
    <row r="5" ht="16" customHeight="1" s="254">
      <c r="A5" s="794" t="inlineStr">
        <is>
          <t>Released</t>
        </is>
      </c>
      <c r="B5" s="796" t="inlineStr">
        <is>
          <t>2026-09-12</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707fa08be51f7f32</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n"/>
      <c r="C10" s="800" t="inlineStr">
        <is>
          <t>e.g. Rev A, Rev B — increment each time you send it back</t>
        </is>
      </c>
      <c r="D10" s="943" t="n"/>
    </row>
    <row r="11" ht="16" customHeight="1" s="254">
      <c r="A11" s="781" t="inlineStr">
        <is>
          <t>Date completed</t>
        </is>
      </c>
      <c r="B11" s="799" t="n"/>
      <c r="C11" s="791" t="n"/>
      <c r="D11" s="791" t="n"/>
    </row>
    <row r="12" ht="16" customHeight="1" s="254">
      <c r="A12" s="781" t="inlineStr">
        <is>
          <t>Completed by</t>
        </is>
      </c>
      <c r="B12" s="799" t="n"/>
      <c r="C12" s="791" t="n"/>
      <c r="D12" s="791" t="n"/>
    </row>
    <row r="13" ht="16" customHeight="1" s="254">
      <c r="A13" s="781" t="inlineStr">
        <is>
          <t>Project reference</t>
        </is>
      </c>
      <c r="B13" s="799" t="n"/>
      <c r="C13" s="791" t="n"/>
      <c r="D13" s="791" t="n"/>
    </row>
    <row r="14" ht="16" customHeight="1" s="254">
      <c r="A14" s="781" t="inlineStr">
        <is>
          <t>Notes on this revision</t>
        </is>
      </c>
      <c r="B14" s="799" t="n"/>
      <c r="C14" s="800" t="inlineStr">
        <is>
          <t>What changed since the last version you sent</t>
        </is>
      </c>
      <c r="D14" s="791" t="n"/>
    </row>
    <row r="15" ht="31" customHeight="1" s="254">
      <c r="A15" s="781" t="inlineStr">
        <is>
          <t>File content hash</t>
        </is>
      </c>
      <c r="B15" s="791" t="inlineStr">
        <is>
          <t>707fa08be51f7f32</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4" customWidth="1" style="254" min="2" max="2"/>
    <col width="46" customWidth="1" style="253" min="3" max="3"/>
    <col width="10" customWidth="1" style="253" min="4" max="6"/>
    <col width="12" customWidth="1" style="254" min="5" max="5"/>
    <col width="12" customWidth="1" style="254" min="6"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31" customHeight="1" s="254">
      <c r="A33" s="781" t="inlineStr">
        <is>
          <t>•</t>
        </is>
      </c>
      <c r="B33" s="781" t="inlineStr">
        <is>
          <t>The Existing tab is the difference between a greenfield project and a charger swap. Complete it whenever the site already has charging equipment.</t>
        </is>
      </c>
      <c r="E33" s="804" t="n"/>
      <c r="F33" s="804" t="n"/>
    </row>
    <row r="34" ht="31" customHeight="1" s="254">
      <c r="A34" s="781" t="inlineStr">
        <is>
          <t>•</t>
        </is>
      </c>
      <c r="B34" s="781" t="inlineStr">
        <is>
          <t>Set the project type on the Existing tab section A first — every other check on that tab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31" customHeight="1" s="254">
      <c r="A38" s="781" t="inlineStr">
        <is>
          <t>•</t>
        </is>
      </c>
      <c r="B38" s="781" t="inlineStr">
        <is>
          <t>Section H is the removal scope. It is zero on a greenfield project and real money on a replacement.</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n"/>
      <c r="C5" s="792" t="inlineStr">
        <is>
          <t>As it will appear on the proposal</t>
        </is>
      </c>
      <c r="D5" s="804" t="n"/>
      <c r="E5" s="804" t="n"/>
      <c r="F5" s="804" t="n"/>
    </row>
    <row r="6" ht="16" customHeight="1" s="254">
      <c r="A6" s="781" t="inlineStr">
        <is>
          <t>Client contact name</t>
        </is>
      </c>
      <c r="B6" s="799" t="n"/>
      <c r="C6" s="804" t="n"/>
      <c r="D6" s="804" t="n"/>
      <c r="E6" s="804" t="n"/>
      <c r="F6" s="804" t="n"/>
    </row>
    <row r="7" ht="16" customHeight="1" s="254">
      <c r="A7" s="781" t="inlineStr">
        <is>
          <t>Contact title</t>
        </is>
      </c>
      <c r="B7" s="799" t="n"/>
      <c r="C7" s="804" t="n"/>
      <c r="D7" s="804" t="n"/>
      <c r="E7" s="804" t="n"/>
      <c r="F7" s="804" t="n"/>
    </row>
    <row r="8" ht="16" customHeight="1" s="254">
      <c r="A8" s="781" t="inlineStr">
        <is>
          <t>Contact email</t>
        </is>
      </c>
      <c r="B8" s="799" t="n"/>
      <c r="C8" s="804" t="n"/>
      <c r="D8" s="804" t="n"/>
      <c r="E8" s="804" t="n"/>
      <c r="F8" s="804" t="n"/>
    </row>
    <row r="9" ht="16" customHeight="1" s="254">
      <c r="A9" s="781" t="inlineStr">
        <is>
          <t>Contact phone</t>
        </is>
      </c>
      <c r="B9" s="799" t="n"/>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n"/>
      <c r="C12" s="804" t="n"/>
      <c r="D12" s="804" t="n"/>
      <c r="E12" s="804" t="n"/>
      <c r="F12" s="804" t="n"/>
    </row>
    <row r="13" ht="16" customHeight="1" s="254">
      <c r="A13" s="781" t="inlineStr">
        <is>
          <t>Street address</t>
        </is>
      </c>
      <c r="B13" s="799" t="n"/>
      <c r="C13" s="804" t="n"/>
      <c r="D13" s="804" t="n"/>
      <c r="E13" s="804" t="n"/>
      <c r="F13" s="804" t="n"/>
    </row>
    <row r="14" ht="16" customHeight="1" s="254">
      <c r="A14" s="781" t="inlineStr">
        <is>
          <t>City / State / ZIP</t>
        </is>
      </c>
      <c r="B14" s="799" t="n"/>
      <c r="C14" s="804" t="n"/>
      <c r="D14" s="804" t="n"/>
      <c r="E14" s="804" t="n"/>
      <c r="F14" s="804" t="n"/>
    </row>
    <row r="15" ht="16" customHeight="1" s="254">
      <c r="A15" s="781" t="inlineStr">
        <is>
          <t>County</t>
        </is>
      </c>
      <c r="B15" s="799" t="n"/>
      <c r="C15" s="804" t="n"/>
      <c r="D15" s="804" t="n"/>
      <c r="E15" s="804" t="n"/>
      <c r="F15" s="804" t="n"/>
    </row>
    <row r="16" ht="16" customHeight="1" s="254">
      <c r="A16" s="781" t="inlineStr">
        <is>
          <t>Property type</t>
        </is>
      </c>
      <c r="B16" s="799" t="n"/>
      <c r="C16" s="792" t="inlineStr">
        <is>
          <t>Retail, dealership, fleet depot, hotel, grocery…</t>
        </is>
      </c>
      <c r="D16" s="804" t="n"/>
      <c r="E16" s="804" t="n"/>
      <c r="F16" s="804" t="n"/>
    </row>
    <row r="17" ht="31" customHeight="1" s="254">
      <c r="A17" s="781" t="inlineStr">
        <is>
          <t>Project type</t>
        </is>
      </c>
      <c r="B17" s="815">
        <f>Existing!B5</f>
        <v/>
      </c>
      <c r="C17" s="816" t="inlineStr">
        <is>
          <t>Set this on the Existing tab. A replacement site must complete the Existing tab in full; a greenfield site leaves it blank.</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n"/>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n"/>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n"/>
      <c r="C27" s="792" t="inlineStr">
        <is>
          <t>From a recent bill</t>
        </is>
      </c>
      <c r="D27" s="804" t="n"/>
      <c r="E27" s="804" t="n"/>
      <c r="F27" s="804" t="n"/>
    </row>
    <row r="28" ht="16" customHeight="1" s="254">
      <c r="A28" s="781" t="inlineStr">
        <is>
          <t>Existing service size (A)</t>
        </is>
      </c>
      <c r="B28" s="818" t="n"/>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n"/>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n"/>
      <c r="C35" s="804" t="n"/>
      <c r="D35" s="804" t="n"/>
      <c r="E35" s="804" t="n"/>
      <c r="F35" s="804" t="n"/>
    </row>
    <row r="36" ht="16" customHeight="1" s="254">
      <c r="A36" s="781" t="inlineStr">
        <is>
          <t>RSM / account owner</t>
        </is>
      </c>
      <c r="B36" s="799" t="n"/>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n"/>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18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7"/>
    <col width="9" customWidth="1" style="254" min="5" max="5"/>
    <col width="9" customWidth="1" style="254" min="6" max="6"/>
    <col width="9" customWidth="1" style="254" min="7" max="7"/>
  </cols>
  <sheetData>
    <row r="1" ht="26" customHeight="1" s="254">
      <c r="A1" s="790" t="inlineStr">
        <is>
          <t>1B · EXISTING INSTALLATION — RIP AND REPLACE</t>
        </is>
      </c>
    </row>
    <row r="2" ht="31" customHeight="1" s="254">
      <c r="A2" s="816"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31" customHeight="1" s="254">
      <c r="A5" s="781" t="inlineStr">
        <is>
          <t>Project type</t>
        </is>
      </c>
      <c r="B5" s="807" t="inlineStr">
        <is>
          <t>Greenfield — new service</t>
        </is>
      </c>
      <c r="C5" s="816" t="inlineStr">
        <is>
          <t>Greenfield builds everything. Rip and replace swaps the chargers and reuses the electrical infrastructure. Replace and expand does both — new chargers plus added capacity.</t>
        </is>
      </c>
    </row>
    <row r="6" ht="31" customHeight="1" s="254">
      <c r="A6" s="781" t="inlineStr">
        <is>
          <t>Age of the existing installation (years)</t>
        </is>
      </c>
      <c r="B6" s="818" t="n"/>
      <c r="C6" s="816" t="inlineStr">
        <is>
          <t>Drives whether the existing conductors and gear are worth reusing.</t>
        </is>
      </c>
      <c r="E6" s="804" t="n"/>
      <c r="F6" s="804" t="n"/>
      <c r="G6" s="804" t="n"/>
    </row>
    <row r="7" ht="31" customHeight="1" s="254">
      <c r="A7" s="781" t="inlineStr">
        <is>
          <t>Reason for replacement</t>
        </is>
      </c>
      <c r="B7" s="799" t="n"/>
      <c r="C7" s="816" t="inlineStr">
        <is>
          <t>End of life, unreliability, obsolete connectors, insufficient power, or a commercial decision.</t>
        </is>
      </c>
      <c r="E7" s="804" t="n"/>
      <c r="F7" s="804" t="n"/>
      <c r="G7" s="804" t="n"/>
    </row>
    <row r="8" ht="16" customHeight="1" s="254">
      <c r="A8" s="781" t="inlineStr">
        <is>
          <t>Who owns the existing equipment?</t>
        </is>
      </c>
      <c r="B8" s="799" t="n"/>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43.5" customHeight="1" s="254">
      <c r="A11" s="816"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n"/>
      <c r="C13" s="825" t="inlineStr">
        <is>
          <t>Existing service stays. No Rule 29 application, no new meter.</t>
        </is>
      </c>
      <c r="D13" s="299" t="n"/>
      <c r="E13" s="804" t="n"/>
      <c r="F13" s="804" t="n"/>
      <c r="G13" s="804" t="n"/>
    </row>
    <row r="14" ht="16" customHeight="1" s="254">
      <c r="A14" s="825" t="inlineStr">
        <is>
          <t>Service feeder to switchgear</t>
        </is>
      </c>
      <c r="B14" s="799" t="n"/>
      <c r="C14" s="825" t="inlineStr">
        <is>
          <t>Conductor from the point of delivery to the switchboard.</t>
        </is>
      </c>
      <c r="D14" s="299" t="n"/>
      <c r="E14" s="804" t="n"/>
      <c r="F14" s="804" t="n"/>
      <c r="G14" s="804" t="n"/>
    </row>
    <row r="15" ht="31" customHeight="1" s="254">
      <c r="A15" s="825" t="inlineStr">
        <is>
          <t>Main distribution switchgear</t>
        </is>
      </c>
      <c r="B15" s="799" t="n"/>
      <c r="C15" s="825" t="inlineStr">
        <is>
          <t>Switchboard, main breaker and metering section.</t>
        </is>
      </c>
      <c r="D15" s="804" t="n"/>
      <c r="E15" s="804" t="n"/>
      <c r="F15" s="804" t="n"/>
      <c r="G15" s="804" t="n"/>
    </row>
    <row r="16" ht="31" customHeight="1" s="254">
      <c r="A16" s="825" t="inlineStr">
        <is>
          <t>Branch conductors to each charger</t>
        </is>
      </c>
      <c r="B16" s="799" t="n"/>
      <c r="C16" s="825" t="inlineStr">
        <is>
          <t>The feeders from switchgear to cabinet. The single largest reuse saving.</t>
        </is>
      </c>
      <c r="D16" s="299" t="n"/>
      <c r="E16" s="804" t="n"/>
      <c r="F16" s="804" t="n"/>
      <c r="G16" s="804" t="n"/>
    </row>
    <row r="17" ht="31" customHeight="1" s="254">
      <c r="A17" s="825" t="inlineStr">
        <is>
          <t>Conduit and trench</t>
        </is>
      </c>
      <c r="B17" s="799" t="n"/>
      <c r="C17" s="825" t="inlineStr">
        <is>
          <t>Existing conduit reused; no re-trenching if the new cabinets land on the same pads.</t>
        </is>
      </c>
      <c r="D17" s="299" t="n"/>
      <c r="E17" s="804" t="n"/>
      <c r="F17" s="804" t="n"/>
      <c r="G17" s="804" t="n"/>
    </row>
    <row r="18" ht="31" customHeight="1" s="254">
      <c r="A18" s="825" t="inlineStr">
        <is>
          <t>Branch breakers</t>
        </is>
      </c>
      <c r="B18" s="799" t="n"/>
      <c r="C18" s="825" t="inlineStr">
        <is>
          <t>Sized to the new cabinet, not the old one. Usually cheap and always worth replacing.</t>
        </is>
      </c>
      <c r="D18" s="299" t="n"/>
      <c r="E18" s="804" t="n"/>
      <c r="F18" s="804" t="n"/>
      <c r="G18" s="804" t="n"/>
    </row>
    <row r="19" ht="16" customHeight="1" s="254">
      <c r="A19" s="825" t="inlineStr">
        <is>
          <t>Concrete pads</t>
        </is>
      </c>
      <c r="B19" s="799" t="n"/>
      <c r="C19" s="825" t="inlineStr">
        <is>
          <t>New cabinets rarely match the old footprint or anchor pattern.</t>
        </is>
      </c>
      <c r="D19" s="299" t="n"/>
      <c r="E19" s="804" t="n"/>
      <c r="F19" s="804" t="n"/>
      <c r="G19" s="804" t="n"/>
    </row>
    <row r="20" ht="16" customHeight="1" s="254">
      <c r="A20" s="825" t="inlineStr">
        <is>
          <t>Bollards and equipment protection</t>
        </is>
      </c>
      <c r="B20" s="799" t="n"/>
      <c r="C20" s="825" t="inlineStr">
        <is>
          <t>Usually disturbed by pad removal.</t>
        </is>
      </c>
      <c r="D20" s="804" t="n"/>
      <c r="E20" s="804" t="n"/>
      <c r="F20" s="804" t="n"/>
      <c r="G20" s="804" t="n"/>
    </row>
    <row r="21" ht="31" customHeight="1" s="254">
      <c r="A21" s="825" t="inlineStr">
        <is>
          <t>Paving and striping</t>
        </is>
      </c>
      <c r="B21" s="799" t="n"/>
      <c r="C21" s="825" t="inlineStr">
        <is>
          <t>Reinstatement around the new pads only.</t>
        </is>
      </c>
      <c r="D21" s="804" t="n"/>
      <c r="E21" s="804" t="n"/>
      <c r="F21" s="804" t="n"/>
      <c r="G21" s="804" t="n"/>
    </row>
    <row r="22" ht="31" customHeight="1" s="254">
      <c r="A22" s="825" t="inlineStr">
        <is>
          <t>ADA stalls and route</t>
        </is>
      </c>
      <c r="B22" s="799" t="n"/>
      <c r="C22" s="825" t="inlineStr">
        <is>
          <t>Reused if the layout is unchanged and still compliant.</t>
        </is>
      </c>
      <c r="D22" s="804" t="n"/>
      <c r="E22" s="804" t="n"/>
      <c r="F22" s="804" t="n"/>
      <c r="G22" s="804" t="n"/>
    </row>
    <row r="23" ht="16" customHeight="1" s="254">
      <c r="A23" s="825" t="inlineStr">
        <is>
          <t>Signage</t>
        </is>
      </c>
      <c r="B23" s="799" t="n"/>
      <c r="C23" s="825" t="inlineStr">
        <is>
          <t>Network branding, pricing and connector types all change.</t>
        </is>
      </c>
      <c r="D23" s="299" t="n"/>
      <c r="E23" s="804" t="n"/>
      <c r="F23" s="804" t="n"/>
      <c r="G23" s="804" t="n"/>
    </row>
    <row r="24" ht="16" customHeight="1" s="254">
      <c r="A24" s="825" t="inlineStr">
        <is>
          <t>Network and payment hardware</t>
        </is>
      </c>
      <c r="B24" s="799" t="n"/>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804" t="n"/>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n"/>
      <c r="B33" s="818" t="n"/>
      <c r="C33" s="818" t="n"/>
      <c r="D33" s="799" t="n"/>
      <c r="E33" s="818" t="n"/>
      <c r="F33" s="819" t="n"/>
      <c r="G33" s="799" t="n"/>
    </row>
    <row r="34" ht="16" customHeight="1" s="254">
      <c r="A34" s="827" t="n"/>
      <c r="B34" s="818" t="n"/>
      <c r="C34" s="818" t="n"/>
      <c r="D34" s="799" t="n"/>
      <c r="E34" s="818" t="n"/>
      <c r="F34" s="819" t="n"/>
      <c r="G34" s="799" t="n"/>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804" t="n"/>
      <c r="C48" s="804" t="n"/>
      <c r="D48" s="804" t="n"/>
      <c r="E48" s="804" t="n"/>
      <c r="F48" s="804" t="n"/>
      <c r="G48" s="804" t="n"/>
    </row>
    <row r="49" ht="31" customHeight="1" s="254">
      <c r="A49" s="816" t="inlineStr">
        <is>
          <t>What is already in the ground. Where a line is being retained, this is what the new design has to work with; where it is being replaced, this is what has to come out.</t>
        </is>
      </c>
    </row>
    <row r="50" ht="31" customHeight="1" s="254">
      <c r="A50" s="781" t="inlineStr">
        <is>
          <t>Existing service size (A)</t>
        </is>
      </c>
      <c r="B50" s="831" t="n"/>
      <c r="C50" s="816" t="inlineStr">
        <is>
          <t>From the meter panel or the utility bill.</t>
        </is>
      </c>
      <c r="D50" s="804" t="n"/>
      <c r="E50" s="804" t="n"/>
      <c r="F50" s="804" t="n"/>
      <c r="G50" s="804" t="n"/>
    </row>
    <row r="51" ht="93.5" customHeight="1" s="254">
      <c r="A51" s="781" t="inlineStr">
        <is>
          <t>Existing service voltage</t>
        </is>
      </c>
      <c r="B51" s="832">
        <f>IF($B$5="Greenfield — new service","n/a",IF($B$13="RETAIN",Project!$B$29,"replaced — the new service voltage is on the Project tab"))</f>
        <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c r="C52" s="816" t="inlineStr">
        <is>
          <t>What is available for the new equipment without an upgrade.</t>
        </is>
      </c>
      <c r="E52" s="804" t="n"/>
      <c r="F52" s="804" t="n"/>
      <c r="G52" s="804" t="n"/>
    </row>
    <row r="53" ht="16" customHeight="1" s="254">
      <c r="A53" s="781" t="inlineStr">
        <is>
          <t>Existing switchgear frame (A)</t>
        </is>
      </c>
      <c r="B53" s="818" t="n"/>
      <c r="C53" s="816" t="inlineStr">
        <is>
          <t>The main breaker frame size.</t>
        </is>
      </c>
      <c r="D53" s="804" t="n"/>
      <c r="E53" s="804" t="n"/>
      <c r="F53" s="804" t="n"/>
      <c r="G53" s="804" t="n"/>
    </row>
    <row r="54" ht="16" customHeight="1" s="254">
      <c r="A54" s="781" t="inlineStr">
        <is>
          <t>Existing branch conductor size</t>
        </is>
      </c>
      <c r="B54" s="799" t="n"/>
      <c r="C54" s="816" t="inlineStr">
        <is>
          <t>e.g. 250 KCMIL Cu. Determines whether it can carry the new cabinet.</t>
        </is>
      </c>
      <c r="E54" s="804" t="n"/>
      <c r="F54" s="804" t="n"/>
      <c r="G54" s="804" t="n"/>
    </row>
    <row r="55" ht="16" customHeight="1" s="254">
      <c r="A55" s="781" t="inlineStr">
        <is>
          <t>Average branch run length (ft)</t>
        </is>
      </c>
      <c r="B55" s="818" t="n"/>
      <c r="C55" s="816" t="inlineStr">
        <is>
          <t>Switchgear to cabinet, per position.</t>
        </is>
      </c>
      <c r="D55" s="804" t="n"/>
      <c r="E55" s="804" t="n"/>
      <c r="F55" s="804" t="n"/>
      <c r="G55" s="804" t="n"/>
    </row>
    <row r="56" ht="31" customHeight="1" s="254">
      <c r="A56" s="781" t="inlineStr">
        <is>
          <t>Existing conduit size and type</t>
        </is>
      </c>
      <c r="B56" s="799" t="n"/>
      <c r="C56" s="816" t="inlineStr">
        <is>
          <t>e.g. 2-1/2 in PVC. Determines whether a larger conductor could be pulled if needed.</t>
        </is>
      </c>
      <c r="E56" s="804" t="n"/>
      <c r="F56" s="804" t="n"/>
      <c r="G56" s="804" t="n"/>
    </row>
    <row r="57" ht="31" customHeight="1" s="254">
      <c r="A57" s="781" t="inlineStr">
        <is>
          <t>Existing rate schedule</t>
        </is>
      </c>
      <c r="B57" s="799" t="n"/>
      <c r="C57" s="816" t="inlineStr">
        <is>
          <t>The tariff the site is billed on today.</t>
        </is>
      </c>
      <c r="D57" s="804" t="n"/>
      <c r="E57" s="804" t="n"/>
      <c r="F57" s="804" t="n"/>
      <c r="G57" s="804" t="n"/>
    </row>
    <row r="58" ht="16" customHeight="1" s="254">
      <c r="A58" s="781" t="inlineStr">
        <is>
          <t>Separately metered for EV today?</t>
        </is>
      </c>
      <c r="B58" s="799" t="n"/>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56" customHeight="1" s="254">
      <c r="A60" s="794" t="inlineStr">
        <is>
          <t>Does the existing service carry the new load?</t>
        </is>
      </c>
      <c r="B60" s="822">
        <f>IF(LEFT($B$5,10)="Greenfield","n/a — greenfield, there is no existing service",IF(OR(NOT(ISNUMBER($B$50)),NOT(ISNUMBER($B$51)),N(Electrical!$B$137)=0),"enter the existing service size and voltage as NUMBERS, and the new equipment",IF(N(Electrical!$B$137)*1000/($B$51*SQRT(3))*1.25&lt;=$B$50,"OK — the existing service covers the new load at 125%","UPGRADE NEEDED — "&amp;TEXT(N(Electrical!$B$137)*1000/($B$51*SQRT(3))*1.25,"#,##0")&amp;" A required against a "&amp;TEXT($B$50,"#,##0")&amp;" A service")))</f>
        <v/>
      </c>
      <c r="C60" s="299" t="n"/>
      <c r="D60" s="814" t="inlineStr">
        <is>
          <t>Stands down on a greenfield project, and asks for a NUMBER rather than a non-empty cell — "N/A" typed here used to reach a division and return #VALUE! on a site with no existing service at all.</t>
        </is>
      </c>
    </row>
    <row r="61" ht="56" customHeight="1" s="254">
      <c r="A61" s="794" t="inlineStr">
        <is>
          <t>Does the existing switchgear carry the new load?</t>
        </is>
      </c>
      <c r="B61" s="822">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9" t="n"/>
      <c r="D61" s="814" t="inlineStr">
        <is>
          <t>Stands down on a greenfield project, and asks for a NUMBER rather than a non-empty cell — "N/A" typed here used to reach a division and return #VALUE! on a site with no existing service at all.</t>
        </is>
      </c>
    </row>
    <row r="62" ht="43.5" customHeight="1" s="254">
      <c r="A62" s="794" t="inlineStr">
        <is>
          <t>Load change from the existing installation</t>
        </is>
      </c>
      <c r="B62" s="822">
        <f>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804" t="n"/>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n"/>
      <c r="B67" s="818" t="n"/>
      <c r="C67" s="833" t="n"/>
      <c r="D67" s="818" t="n"/>
      <c r="E67" s="833" t="n"/>
      <c r="F67" s="834" t="n"/>
      <c r="G67" s="799" t="n"/>
    </row>
    <row r="68" ht="16" customHeight="1" s="254">
      <c r="A68" s="827" t="n"/>
      <c r="B68" s="818" t="n"/>
      <c r="C68" s="833" t="n"/>
      <c r="D68" s="818" t="n"/>
      <c r="E68" s="833" t="n"/>
      <c r="F68" s="834" t="n"/>
      <c r="G68" s="799" t="n"/>
    </row>
    <row r="69" ht="16" customHeight="1" s="254">
      <c r="A69" s="827" t="n"/>
      <c r="B69" s="818" t="n"/>
      <c r="C69" s="833" t="n"/>
      <c r="D69" s="818" t="n"/>
      <c r="E69" s="833" t="n"/>
      <c r="F69" s="834" t="n"/>
      <c r="G69" s="799" t="n"/>
    </row>
    <row r="70" ht="16" customHeight="1" s="254">
      <c r="A70" s="827" t="n"/>
      <c r="B70" s="818" t="n"/>
      <c r="C70" s="833" t="n"/>
      <c r="D70" s="818" t="n"/>
      <c r="E70" s="833" t="n"/>
      <c r="F70" s="834" t="n"/>
      <c r="G70" s="799" t="n"/>
    </row>
    <row r="71" ht="16" customHeight="1" s="254">
      <c r="A71" s="827" t="n"/>
      <c r="B71" s="818" t="n"/>
      <c r="C71" s="833" t="n"/>
      <c r="D71" s="818" t="n"/>
      <c r="E71" s="833" t="n"/>
      <c r="F71" s="834" t="n"/>
      <c r="G71" s="799" t="n"/>
    </row>
    <row r="72" ht="16" customHeight="1" s="254">
      <c r="A72" s="827" t="n"/>
      <c r="B72" s="818" t="n"/>
      <c r="C72" s="833" t="n"/>
      <c r="D72" s="818" t="n"/>
      <c r="E72" s="833" t="n"/>
      <c r="F72" s="834" t="n"/>
      <c r="G72" s="799" t="n"/>
    </row>
    <row r="73" ht="16" customHeight="1" s="254">
      <c r="A73" s="827" t="n"/>
      <c r="B73" s="818" t="n"/>
      <c r="C73" s="833" t="n"/>
      <c r="D73" s="818" t="n"/>
      <c r="E73" s="833" t="n"/>
      <c r="F73" s="834" t="n"/>
      <c r="G73" s="799" t="n"/>
    </row>
    <row r="74" ht="16" customHeight="1" s="254">
      <c r="A74" s="827" t="n"/>
      <c r="B74" s="818" t="n"/>
      <c r="C74" s="833" t="n"/>
      <c r="D74" s="818" t="n"/>
      <c r="E74" s="833" t="n"/>
      <c r="F74" s="834" t="n"/>
      <c r="G74" s="799" t="n"/>
    </row>
    <row r="75" ht="16" customHeight="1" s="254">
      <c r="A75" s="827" t="n"/>
      <c r="B75" s="818" t="n"/>
      <c r="C75" s="833" t="n"/>
      <c r="D75" s="818" t="n"/>
      <c r="E75" s="833" t="n"/>
      <c r="F75" s="834" t="n"/>
      <c r="G75" s="799" t="n"/>
    </row>
    <row r="76" ht="16" customHeight="1" s="254">
      <c r="A76" s="827" t="n"/>
      <c r="B76" s="818" t="n"/>
      <c r="C76" s="833" t="n"/>
      <c r="D76" s="818" t="n"/>
      <c r="E76" s="833" t="n"/>
      <c r="F76" s="834" t="n"/>
      <c r="G76" s="799" t="n"/>
    </row>
    <row r="77" ht="16" customHeight="1" s="254">
      <c r="A77" s="827" t="n"/>
      <c r="B77" s="818" t="n"/>
      <c r="C77" s="833" t="n"/>
      <c r="D77" s="818" t="n"/>
      <c r="E77" s="833" t="n"/>
      <c r="F77" s="834" t="n"/>
      <c r="G77" s="799" t="n"/>
    </row>
    <row r="78" ht="16" customHeight="1" s="254">
      <c r="A78" s="827" t="n"/>
      <c r="B78" s="818" t="n"/>
      <c r="C78" s="833" t="n"/>
      <c r="D78" s="818" t="n"/>
      <c r="E78" s="833" t="n"/>
      <c r="F78" s="834" t="n"/>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804" t="n"/>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n"/>
      <c r="C131" s="799" t="n"/>
      <c r="D131" s="839" t="n"/>
      <c r="E131" s="804" t="n"/>
      <c r="F131" s="804" t="n"/>
      <c r="G131" s="804" t="n"/>
    </row>
    <row r="132" ht="16" customHeight="1" s="254">
      <c r="A132" s="825" t="inlineStr">
        <is>
          <t>CCS1</t>
        </is>
      </c>
      <c r="B132" s="799" t="n"/>
      <c r="C132" s="799" t="n"/>
      <c r="D132" s="839" t="n"/>
      <c r="E132" s="804" t="n"/>
      <c r="F132" s="804" t="n"/>
      <c r="G132" s="804" t="n"/>
    </row>
    <row r="133" ht="16" customHeight="1" s="254">
      <c r="A133" s="825" t="inlineStr">
        <is>
          <t>CHAdeMO</t>
        </is>
      </c>
      <c r="B133" s="799" t="n"/>
      <c r="C133" s="799" t="n"/>
      <c r="D133" s="839" t="n"/>
      <c r="E133" s="804" t="n"/>
      <c r="F133" s="804" t="n"/>
      <c r="G133" s="804" t="n"/>
    </row>
    <row r="134" ht="16" customHeight="1" s="254">
      <c r="A134" s="825" t="inlineStr">
        <is>
          <t>J1772 (Level 2)</t>
        </is>
      </c>
      <c r="B134" s="799" t="n"/>
      <c r="C134" s="799" t="n"/>
      <c r="D134" s="839" t="n"/>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804" t="n"/>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804" t="n"/>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c r="C174" s="825" t="inlineStr">
        <is>
          <t>Includes de-energising, lockout and terminations</t>
        </is>
      </c>
      <c r="D174" s="804" t="n"/>
      <c r="E174" s="804" t="n"/>
      <c r="F174" s="804" t="n"/>
      <c r="G174" s="804" t="n"/>
    </row>
    <row r="175" ht="16" customHeight="1" s="254">
      <c r="A175" s="825" t="inlineStr">
        <is>
          <t>Concrete pads to break out (ea)</t>
        </is>
      </c>
      <c r="B175" s="818" t="n"/>
      <c r="C175" s="825" t="inlineStr">
        <is>
          <t>Saw-cut, break, remove and dispose</t>
        </is>
      </c>
      <c r="D175" s="804" t="n"/>
      <c r="E175" s="804" t="n"/>
      <c r="F175" s="804" t="n"/>
      <c r="G175" s="804" t="n"/>
    </row>
    <row r="176" ht="16" customHeight="1" s="254">
      <c r="A176" s="825" t="inlineStr">
        <is>
          <t>Bollards to remove (ea)</t>
        </is>
      </c>
      <c r="B176" s="818" t="n"/>
      <c r="C176" s="843" t="n"/>
      <c r="D176" s="804" t="n"/>
      <c r="E176" s="804" t="n"/>
      <c r="F176" s="804" t="n"/>
      <c r="G176" s="804" t="n"/>
    </row>
    <row r="177" ht="16" customHeight="1" s="254">
      <c r="A177" s="825" t="inlineStr">
        <is>
          <t>Signage to remove (ea)</t>
        </is>
      </c>
      <c r="B177" s="818" t="n"/>
      <c r="C177" s="843" t="n"/>
      <c r="D177" s="804" t="n"/>
      <c r="E177" s="804" t="n"/>
      <c r="F177" s="804" t="n"/>
      <c r="G177" s="804" t="n"/>
    </row>
    <row r="178" ht="31" customHeight="1" s="254">
      <c r="A178" s="825" t="inlineStr">
        <is>
          <t>Disposal loads (ea)</t>
        </is>
      </c>
      <c r="B178" s="818" t="n"/>
      <c r="C178" s="825" t="inlineStr">
        <is>
          <t>Concrete and steel to a licensed facility</t>
        </is>
      </c>
      <c r="D178" s="804" t="n"/>
      <c r="E178" s="804" t="n"/>
      <c r="F178" s="804" t="n"/>
      <c r="G178" s="804" t="n"/>
    </row>
    <row r="179" ht="16" customHeight="1" s="254">
      <c r="A179" s="825" t="inlineStr">
        <is>
          <t>Equipment recycling or resale?</t>
        </is>
      </c>
      <c r="B179" s="799" t="n"/>
      <c r="C179" s="825" t="inlineStr">
        <is>
          <t>Working units may carry salvage value</t>
        </is>
      </c>
      <c r="D179" s="804" t="n"/>
      <c r="E179" s="804" t="n"/>
      <c r="F179" s="804" t="n"/>
      <c r="G179" s="804" t="n"/>
    </row>
    <row r="180" ht="16" customHeight="1" s="254">
      <c r="A180" s="825" t="inlineStr">
        <is>
          <t>Hazardous material identified?</t>
        </is>
      </c>
      <c r="B180" s="799" t="n"/>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n"/>
      <c r="C181" s="825" t="inlineStr">
        <is>
          <t>If the site cannot go dark, this is a separate cost</t>
        </is>
      </c>
      <c r="D181" s="804" t="n"/>
      <c r="E181" s="804" t="n"/>
      <c r="F181" s="804" t="n"/>
      <c r="G181" s="804" t="n"/>
    </row>
    <row r="182" ht="31" customHeight="1" s="254">
      <c r="A182" s="825" t="inlineStr">
        <is>
          <t>Site protection and traffic control (days)</t>
        </is>
      </c>
      <c r="B182" s="818" t="n"/>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sheetData>
  <sheetProtection selectLockedCells="0" selectUnlockedCells="0" sheet="1" objects="0" insertRows="1" insertHyperlinks="1" autoFilter="1" scenarios="0" formatColumns="0" deleteColumns="1" insertColumns="1" pivotTables="1" deleteRows="1" formatCells="0" formatRows="0" sort="1"/>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9">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3"/>
    <col width="24" customWidth="1" style="254" min="3" max="3"/>
    <col width="44" customWidth="1" style="253" min="4" max="5"/>
    <col width="14" customWidth="1" style="254" min="5" max="5"/>
    <col width="14" customWidth="1" style="253" min="6" max="7"/>
    <col width="16" customWidth="1" style="254" min="7" max="7"/>
    <col width="16" customWidth="1" style="253" min="8" max="8"/>
    <col width="12" customWidth="1" style="253" min="9" max="9"/>
    <col width="16" customWidth="1" style="253" min="10" max="10"/>
    <col width="16" customWidth="1" style="253" min="11" max="11"/>
    <col width="24" customWidth="1" style="253" min="12" max="12"/>
    <col width="14" customWidth="1" style="253" min="13" max="14"/>
    <col width="14" customWidth="1" style="254" min="14" max="14"/>
    <col width="14" customWidth="1" style="253" min="15" max="15"/>
    <col width="16" customWidth="1" style="253" min="16" max="16"/>
    <col width="13" customWidth="1" style="254" min="17" max="17"/>
    <col width="13" customWidth="1" style="254" min="18" max="18"/>
    <col width="13" customWidth="1" style="254" min="19" max="19"/>
    <col width="13" customWidth="1" style="254" min="20" max="20"/>
    <col width="13" customWidth="1" style="254" min="21" max="21"/>
    <col width="13" customWidth="1" style="254" min="22"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n"/>
      <c r="C7" s="807" t="n"/>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n"/>
      <c r="C8" s="807" t="n"/>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n"/>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37"/>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1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Mixed</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31"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56" customHeight="1" s="254">
      <c r="A10" s="781" t="inlineStr">
        <is>
          <t>Design ambient (C)</t>
        </is>
      </c>
      <c r="B10" s="818" t="n"/>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43.5"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n"/>
      <c r="M18" s="831" t="n"/>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n"/>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n"/>
      <c r="M19" s="831" t="n"/>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n"/>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n"/>
      <c r="M20" s="831" t="n"/>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n"/>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n"/>
      <c r="M21" s="831" t="n"/>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n"/>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n"/>
      <c r="M22" s="831" t="n"/>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n"/>
      <c r="M23" s="831" t="n"/>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31"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31"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43.5"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56"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16" customHeight="1" s="254">
      <c r="A143" s="781" t="inlineStr">
        <is>
          <t>Switchgear adequate?</t>
        </is>
      </c>
      <c r="B143" s="810">
        <f>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04" t="n"/>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n"/>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c r="C149" s="814" t="inlineStr">
        <is>
          <t>0 if a new service is required</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31" customHeight="1" s="254">
      <c r="A155" s="781" t="inlineStr">
        <is>
          <t>Who provides this run?</t>
        </is>
      </c>
      <c r="B155" s="799" t="inlineStr">
        <is>
          <t>Utility — EV infrastructure rule</t>
        </is>
      </c>
      <c r="C155" s="814" t="inlineStr">
        <is>
          <t>Utility, or Zero Impact Energy. The verdict on the run below stands down when the utility provides it.</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n"/>
      <c r="B165" s="807" t="n"/>
      <c r="C165" s="831" t="n"/>
      <c r="D165" s="831" t="n"/>
      <c r="E165" s="831" t="n"/>
      <c r="F165" s="831" t="n"/>
      <c r="G165" s="807" t="n"/>
      <c r="H165" s="807" t="n"/>
      <c r="I165" s="807" t="n"/>
      <c r="J165" s="807" t="n"/>
      <c r="K165" s="807" t="n"/>
      <c r="L165" s="878" t="n"/>
      <c r="M165" s="804" t="n"/>
      <c r="N165" s="804" t="n"/>
      <c r="O165" s="804" t="n"/>
      <c r="P165" s="804" t="n"/>
      <c r="Q165" s="804" t="n"/>
      <c r="R165" s="804" t="n"/>
      <c r="S165" s="804" t="n"/>
      <c r="T165" s="804" t="n"/>
      <c r="U165" s="804" t="n"/>
      <c r="V165" s="804" t="n"/>
      <c r="W165" s="804" t="n"/>
      <c r="X165" s="804" t="n"/>
    </row>
    <row r="166" ht="16" customHeight="1" s="254">
      <c r="A166" s="877" t="n"/>
      <c r="B166" s="807" t="n"/>
      <c r="C166" s="831" t="n"/>
      <c r="D166" s="831" t="n"/>
      <c r="E166" s="831" t="n"/>
      <c r="F166" s="831" t="n"/>
      <c r="G166" s="807" t="n"/>
      <c r="H166" s="807" t="n"/>
      <c r="I166" s="807" t="n"/>
      <c r="J166" s="807" t="n"/>
      <c r="K166" s="807" t="n"/>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31"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New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n"/>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n"/>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n"/>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n"/>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n"/>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n"/>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replacement sites only</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31" customHeight="1" s="254">
      <c r="A205" s="814"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new service","n/a — greenfield",Existing!$B$16)</f>
        <v/>
      </c>
      <c r="C211" s="882">
        <f>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new service","n/a — greenfield",Existing!$B$17)</f>
        <v/>
      </c>
      <c r="C212" s="882">
        <f>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new service","n/a — greenfield",Existing!$B$18)</f>
        <v/>
      </c>
      <c r="C213" s="882">
        <f>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215" s="814" t="inlineStr">
        <is>
          <t>Repeats the Existing tab capacity test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sheetData>
  <sheetProtection selectLockedCells="0" selectUnlockedCells="0" sheet="1" objects="0" insertRows="1" insertHyperlinks="1" autoFilter="1" scenarios="0" formatColumns="0" deleteColumns="1" insertColumns="1" pivotTables="1" deleteRows="1" formatCells="1" formatRows="0" sort="1"/>
  <mergeCells count="77">
    <mergeCell ref="C196:H196"/>
    <mergeCell ref="C85:H85"/>
    <mergeCell ref="C9:H9"/>
    <mergeCell ref="C133:H133"/>
    <mergeCell ref="C198:H198"/>
    <mergeCell ref="C11:H11"/>
    <mergeCell ref="A183:H183"/>
    <mergeCell ref="C144:H144"/>
    <mergeCell ref="A16:T16"/>
    <mergeCell ref="C81:H81"/>
    <mergeCell ref="C208:H208"/>
    <mergeCell ref="A163:T163"/>
    <mergeCell ref="C13:H13"/>
    <mergeCell ref="C145:H145"/>
    <mergeCell ref="A5:H5"/>
    <mergeCell ref="C154:H154"/>
    <mergeCell ref="C210:H210"/>
    <mergeCell ref="C89:H89"/>
    <mergeCell ref="C187:H187"/>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28">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7"/>
    <col width="10" customWidth="1" style="254" min="5" max="5"/>
    <col width="10" customWidth="1" style="254" min="6" max="6"/>
    <col width="10" customWidth="1" style="254" min="7"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c r="C19" s="792" t="inlineStr">
        <is>
          <t>2% of stalls, min 1</t>
        </is>
      </c>
      <c r="D19" s="889" t="n">
        <v>4900</v>
      </c>
      <c r="E19" s="799" t="inlineStr">
        <is>
          <t>Y</t>
        </is>
      </c>
      <c r="F19" s="804" t="n"/>
      <c r="G19" s="804" t="n"/>
    </row>
    <row r="20" ht="16" customHeight="1" s="254">
      <c r="A20" s="888" t="inlineStr">
        <is>
          <t>ADA ramp (ea)</t>
        </is>
      </c>
      <c r="B20" s="799" t="n"/>
      <c r="C20" s="890" t="n"/>
      <c r="D20" s="889" t="n">
        <v>5200</v>
      </c>
      <c r="E20" s="799" t="inlineStr">
        <is>
          <t>Y</t>
        </is>
      </c>
      <c r="F20" s="804" t="n"/>
      <c r="G20" s="804" t="n"/>
    </row>
    <row r="21" ht="16" customHeight="1" s="254">
      <c r="A21" s="888" t="inlineStr">
        <is>
          <t>Bollards (ea)</t>
        </is>
      </c>
      <c r="B21" s="799" t="n"/>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c r="C25" s="792" t="inlineStr">
        <is>
          <t>Underground utility locate</t>
        </is>
      </c>
      <c r="D25" s="889" t="n">
        <v>2500</v>
      </c>
      <c r="E25" s="799" t="inlineStr">
        <is>
          <t>Y</t>
        </is>
      </c>
      <c r="F25" s="804" t="n"/>
      <c r="G25" s="804" t="n"/>
    </row>
    <row r="26" ht="16" customHeight="1" s="254">
      <c r="A26" s="888" t="inlineStr">
        <is>
          <t>GFI test (ea)</t>
        </is>
      </c>
      <c r="B26" s="799" t="n"/>
      <c r="C26" s="792" t="inlineStr">
        <is>
          <t>Required above 1000 sq ft gear area</t>
        </is>
      </c>
      <c r="D26" s="889" t="n">
        <v>3500</v>
      </c>
      <c r="E26" s="799" t="inlineStr">
        <is>
          <t>Y</t>
        </is>
      </c>
      <c r="F26" s="804" t="n"/>
      <c r="G26" s="804" t="n"/>
    </row>
    <row r="27" ht="16" customHeight="1" s="254">
      <c r="A27" s="888" t="inlineStr">
        <is>
          <t>Dump / disposal (lot)</t>
        </is>
      </c>
      <c r="B27" s="799" t="n"/>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c r="C40" s="889" t="n">
        <v>98.56666667</v>
      </c>
      <c r="D40" s="799" t="n"/>
      <c r="E40" s="799" t="inlineStr">
        <is>
          <t>Y</t>
        </is>
      </c>
      <c r="F40" s="804" t="n"/>
      <c r="G40" s="804" t="n"/>
    </row>
    <row r="41" ht="16" customHeight="1" s="254">
      <c r="A41" s="888" t="inlineStr">
        <is>
          <t>Dump Truck</t>
        </is>
      </c>
      <c r="B41" s="799" t="n"/>
      <c r="C41" s="889" t="n">
        <v>520</v>
      </c>
      <c r="D41" s="799" t="n"/>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c r="C50" s="889" t="n">
        <v>220</v>
      </c>
      <c r="D50" s="799" t="n"/>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0</v>
      </c>
      <c r="C81" s="792" t="inlineStr">
        <is>
          <t>AHJ — verify locally</t>
        </is>
      </c>
      <c r="D81" s="889" t="n">
        <v>4000</v>
      </c>
      <c r="E81" s="799" t="inlineStr">
        <is>
          <t>Y</t>
        </is>
      </c>
      <c r="F81" s="804" t="n"/>
      <c r="G81" s="804" t="n"/>
    </row>
    <row r="82" ht="16" customHeight="1" s="254">
      <c r="A82" s="888" t="inlineStr">
        <is>
          <t>Utility contract fees</t>
        </is>
      </c>
      <c r="B82" s="818" t="n">
        <v>0</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0</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0</v>
      </c>
      <c r="C85" s="792" t="inlineStr">
        <is>
          <t>Fire district — common on DCFC sites</t>
        </is>
      </c>
      <c r="D85" s="889" t="n">
        <v>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A55:G55"/>
    <mergeCell ref="B67:C67"/>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799" t="n"/>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68.5" customHeight="1" s="254">
      <c r="A10" s="876" t="inlineStr">
        <is>
          <t>Wire, conduit and peripherals</t>
        </is>
      </c>
      <c r="B10" s="885">
        <f>(Electrical!$B$86+Electrical!$B$128)*(1+Construction!$B$72)</f>
        <v/>
      </c>
      <c r="C10" s="903" t="n">
        <v>0</v>
      </c>
      <c r="D10" s="867">
        <f>$B10-$E10</f>
        <v/>
      </c>
      <c r="E10" s="885">
        <f>$B10*(1-$C10)</f>
        <v/>
      </c>
      <c r="F10" s="902" t="inlineStr">
        <is>
          <t>Charger runs and dispenser runs at RefData rates, plus the materials markup. Not discounted. A service feeder Zero Impact Energy provides is priced by the model and is not in this figure.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7"/>
    <col width="9" customWidth="1" style="254" min="5" max="5"/>
    <col width="9" customWidth="1" style="254" min="6" max="6"/>
    <col width="9" customWidth="1" style="254" min="7"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n"/>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n"/>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c r="C38" s="814" t="inlineStr">
        <is>
          <t>Only if the schedule has time-of-use periods, and then from ITS periods — not from a remembered 4-9 pm peak. Leave all three blank on a flat schedule.</t>
        </is>
      </c>
    </row>
    <row r="39" ht="16" customHeight="1" s="254">
      <c r="A39" s="781" t="inlineStr">
        <is>
          <t>Share off-peak</t>
        </is>
      </c>
      <c r="B39" s="887" t="n"/>
      <c r="C39" s="804" t="n"/>
      <c r="D39" s="804" t="n"/>
      <c r="E39" s="804" t="n"/>
      <c r="F39" s="804" t="n"/>
      <c r="G39" s="804" t="n"/>
    </row>
    <row r="40" ht="16" customHeight="1" s="254">
      <c r="A40" s="781" t="inlineStr">
        <is>
          <t>Share super off-peak</t>
        </is>
      </c>
      <c r="B40" s="887" t="n"/>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n"/>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Market benchmark — greenfield</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n"/>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n"/>
      <c r="C83" s="814" t="inlineStr">
        <is>
          <t>Yes / No. "No" is a perfectly good answer and the proposal will say so at the point of use; what is not acceptable is nobody knowing.</t>
        </is>
      </c>
    </row>
    <row r="84" ht="16" customHeight="1" s="254">
      <c r="A84" s="781" t="inlineStr">
        <is>
          <t>Verified by / date</t>
        </is>
      </c>
      <c r="B84" s="807" t="n"/>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c r="C92" s="814" t="inlineStr">
        <is>
          <t>The fixed monthly meter charge.</t>
        </is>
      </c>
      <c r="D92" s="804" t="n"/>
      <c r="E92" s="804" t="n"/>
      <c r="F92" s="804" t="n"/>
      <c r="G92" s="804" t="n"/>
    </row>
    <row r="93" hidden="1" outlineLevel="1" ht="31" customHeight="1" s="254">
      <c r="A93" s="781" t="inlineStr">
        <is>
          <t>Demand charge ($/kW-month)</t>
        </is>
      </c>
      <c r="B93" s="925" t="n"/>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6"/>
    <col width="9" customWidth="1" style="254" min="5" max="5"/>
    <col width="9" customWidth="1" style="254" min="6"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n"/>
      <c r="C5" s="792" t="inlineStr">
        <is>
          <t>Yes / No / Pending</t>
        </is>
      </c>
      <c r="D5" s="804" t="n"/>
      <c r="E5" s="804" t="n"/>
      <c r="F5" s="804" t="n"/>
    </row>
    <row r="6" ht="16" customHeight="1" s="254">
      <c r="A6" s="781" t="inlineStr">
        <is>
          <t>Permit clears the 1 Jan 2022 test?</t>
        </is>
      </c>
      <c r="B6" s="799" t="n"/>
      <c r="C6" s="792" t="inlineStr">
        <is>
          <t>Yes / No</t>
        </is>
      </c>
      <c r="D6" s="804" t="n"/>
      <c r="E6" s="804" t="n"/>
      <c r="F6" s="804" t="n"/>
    </row>
    <row r="7" ht="16" customHeight="1" s="254">
      <c r="A7" s="781" t="inlineStr">
        <is>
          <t>Application filed?</t>
        </is>
      </c>
      <c r="B7" s="799" t="n"/>
      <c r="C7" s="792" t="inlineStr">
        <is>
          <t>Yes / No — with date</t>
        </is>
      </c>
      <c r="D7" s="804" t="n"/>
      <c r="E7" s="804" t="n"/>
      <c r="F7" s="804" t="n"/>
    </row>
    <row r="8" ht="16" customHeight="1" s="254">
      <c r="A8" s="781" t="inlineStr">
        <is>
          <t>Registered aggregator</t>
        </is>
      </c>
      <c r="B8" s="799" t="n"/>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0.04</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n"/>
      <c r="C26" s="792" t="inlineStr">
        <is>
          <t>e.g. Fast Charge California — name it even if it does not qualify</t>
        </is>
      </c>
      <c r="E26" s="804" t="n"/>
      <c r="F26" s="804" t="n"/>
    </row>
    <row r="27" ht="16" customHeight="1" s="254">
      <c r="A27" s="781" t="inlineStr">
        <is>
          <t>State programme outcome</t>
        </is>
      </c>
      <c r="B27" s="799" t="n"/>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5"/>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Base case — no share</t>
        </is>
      </c>
      <c r="C9" s="792" t="inlineStr">
        <is>
          <t>A label so a reader knows which structure this is</t>
        </is>
      </c>
      <c r="D9" s="804" t="n"/>
      <c r="E9" s="804" t="n"/>
    </row>
    <row r="10" ht="16" customHeight="1" s="254">
      <c r="A10" s="781" t="inlineStr">
        <is>
          <t>Our share of the net carbon credit</t>
        </is>
      </c>
      <c r="B10" s="887" t="n">
        <v>0</v>
      </c>
      <c r="C10" s="792" t="inlineStr">
        <is>
          <t>0% = client keeps all of it</t>
        </is>
      </c>
      <c r="D10" s="804" t="n"/>
      <c r="E10" s="804" t="n"/>
    </row>
    <row r="11" ht="16" customHeight="1" s="254">
      <c r="A11" s="781" t="inlineStr">
        <is>
          <t>Our share of charging revenue</t>
        </is>
      </c>
      <c r="B11" s="887" t="n">
        <v>0</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We provide</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4"/>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c r="C10" s="939" t="inlineStr">
        <is>
          <t>$</t>
        </is>
      </c>
      <c r="D10" s="797" t="inlineStr">
        <is>
          <t>Vendor quote for the switchboard, before markup. Use this when the board is quoted rather than taken from the RefData frame schedule.</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c r="C19" s="939" t="inlineStr">
        <is>
          <t>amps</t>
        </is>
      </c>
      <c r="D19" s="799" t="n"/>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c r="C22" s="939" t="inlineStr">
        <is>
          <t>kWh</t>
        </is>
      </c>
      <c r="D22" s="799" t="n"/>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c r="C26" s="939" t="inlineStr">
        <is>
          <t>$/kWh</t>
        </is>
      </c>
      <c r="D26" s="799" t="n"/>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2026-09-12T05:11:46Z</dcterms:modified>
  <cp:revision>0</cp:revision>
</cp:coreProperties>
</file>